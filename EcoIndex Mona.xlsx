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Cx7TtVfrZ7rbEFSh7fsq1F8j8HK4pmBuIUAeV6GNmBw="/>
    </ext>
  </extLst>
</workbook>
</file>

<file path=xl/sharedStrings.xml><?xml version="1.0" encoding="utf-8"?>
<sst xmlns="http://schemas.openxmlformats.org/spreadsheetml/2006/main" count="34" uniqueCount="25">
  <si>
    <t>Date</t>
  </si>
  <si>
    <t>Titre de page</t>
  </si>
  <si>
    <t>Url</t>
  </si>
  <si>
    <t>Nb de requêtes</t>
  </si>
  <si>
    <t>Taille(kb)</t>
  </si>
  <si>
    <t>Taille du dom</t>
  </si>
  <si>
    <t>GES gCO2e</t>
  </si>
  <si>
    <t>Eau cl</t>
  </si>
  <si>
    <t>ecoIndex</t>
  </si>
  <si>
    <t>Note</t>
  </si>
  <si>
    <t>Homepage</t>
  </si>
  <si>
    <t>https://www.youtube.com/</t>
  </si>
  <si>
    <t>F</t>
  </si>
  <si>
    <t>Recherche</t>
  </si>
  <si>
    <t>E</t>
  </si>
  <si>
    <t>Publicité avant vidéo</t>
  </si>
  <si>
    <t xml:space="preserve">Vidéo lancé </t>
  </si>
  <si>
    <t>Moyenne</t>
  </si>
  <si>
    <t>Cumul</t>
  </si>
  <si>
    <t>Par UF</t>
  </si>
  <si>
    <t>Pour 5083333 UF (par heure)</t>
  </si>
  <si>
    <t>Pour 508333*24 UF (par jour)</t>
  </si>
  <si>
    <t>Pour 508333*24*30 UF (par mois)</t>
  </si>
  <si>
    <t>GES kgCO2e</t>
  </si>
  <si>
    <t>Eau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</si>
</sst>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 hh:mm"/>
  </numFmts>
  <fonts count="8">
    <font>
      <sz val="10.0"/>
      <color rgb="FF000000"/>
      <name val="Arial"/>
      <scheme val="minor"/>
    </font>
    <font>
      <b/>
      <color theme="1"/>
      <name val="Red Hat Display"/>
    </font>
    <font>
      <sz val="11.0"/>
      <color rgb="FF000000"/>
      <name val="Calibri"/>
    </font>
    <font>
      <color theme="1"/>
      <name val="Arial"/>
    </font>
    <font>
      <u/>
      <sz val="11.0"/>
      <color rgb="FF000000"/>
      <name val="Calibri"/>
    </font>
    <font>
      <b/>
      <color rgb="FF000000"/>
      <name val="Red Hat Display"/>
    </font>
    <font>
      <color rgb="FF000000"/>
      <name val="Arial"/>
    </font>
    <font>
      <b/>
      <color rgb="FFFFFFFF"/>
      <name val="Red Hat Display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34A853"/>
        <bgColor rgb="FF34A853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right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4" fillId="0" fontId="2" numFmtId="164" xfId="0" applyAlignment="1" applyBorder="1" applyFont="1" applyNumberFormat="1">
      <alignment readingOrder="0" shrinkToFit="0" vertical="bottom" wrapText="0"/>
    </xf>
    <xf borderId="4" fillId="0" fontId="3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4" fillId="0" fontId="2" numFmtId="0" xfId="0" applyAlignment="1" applyBorder="1" applyFont="1">
      <alignment horizontal="right" shrinkToFit="0" vertical="bottom" wrapText="0"/>
    </xf>
    <xf borderId="0" fillId="0" fontId="3" numFmtId="0" xfId="0" applyFont="1"/>
    <xf borderId="4" fillId="2" fontId="2" numFmtId="165" xfId="0" applyAlignment="1" applyBorder="1" applyFill="1" applyFont="1" applyNumberFormat="1">
      <alignment shrinkToFit="0" vertical="bottom" wrapText="0"/>
    </xf>
    <xf borderId="4" fillId="2" fontId="2" numFmtId="0" xfId="0" applyAlignment="1" applyBorder="1" applyFont="1">
      <alignment shrinkToFit="0" vertical="bottom" wrapText="0"/>
    </xf>
    <xf borderId="4" fillId="0" fontId="2" numFmtId="165" xfId="0" applyAlignment="1" applyBorder="1" applyFont="1" applyNumberForma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3" fontId="3" numFmtId="0" xfId="0" applyFill="1" applyFont="1"/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4" fontId="7" numFmtId="0" xfId="0" applyAlignment="1" applyFill="1" applyFont="1">
      <alignment horizontal="center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2" displayName="Table_1" name="Table_1" id="1">
  <tableColumns count="10">
    <tableColumn name="Date" id="1"/>
    <tableColumn name="Titre de page" id="2"/>
    <tableColumn name="Url" id="3"/>
    <tableColumn name="Nb de requêtes" id="4"/>
    <tableColumn name="Taille(kb)" id="5"/>
    <tableColumn name="Taille du dom" id="6"/>
    <tableColumn name="GES gCO2e" id="7"/>
    <tableColumn name="Eau cl" id="8"/>
    <tableColumn name="ecoIndex" id="9"/>
    <tableColumn name="Note" id="10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" TargetMode="External"/><Relationship Id="rId2" Type="http://schemas.openxmlformats.org/officeDocument/2006/relationships/hyperlink" Target="https://www.youtube.com/" TargetMode="External"/><Relationship Id="rId3" Type="http://schemas.openxmlformats.org/officeDocument/2006/relationships/hyperlink" Target="https://www.youtube.com/" TargetMode="External"/><Relationship Id="rId4" Type="http://schemas.openxmlformats.org/officeDocument/2006/relationships/hyperlink" Target="https://www.youtube.com/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22.63"/>
    <col customWidth="1" min="3" max="3" width="59.63"/>
    <col customWidth="1" min="4" max="4" width="22.5"/>
    <col customWidth="1" min="5" max="5" width="12.75"/>
    <col customWidth="1" min="6" max="6" width="15.63"/>
    <col customWidth="1" min="7" max="7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ht="15.75" customHeight="1">
      <c r="A2" s="5">
        <v>46181.0</v>
      </c>
      <c r="B2" s="6" t="s">
        <v>10</v>
      </c>
      <c r="C2" s="7" t="s">
        <v>11</v>
      </c>
      <c r="D2" s="8">
        <v>408.0</v>
      </c>
      <c r="E2" s="8">
        <v>161480.0</v>
      </c>
      <c r="F2" s="8">
        <v>970.0</v>
      </c>
      <c r="G2" s="8">
        <v>2.66</v>
      </c>
      <c r="H2" s="8">
        <v>3.99</v>
      </c>
      <c r="I2" s="8">
        <v>16.98</v>
      </c>
      <c r="J2" s="8" t="s">
        <v>12</v>
      </c>
      <c r="K2" s="9">
        <v>2.0</v>
      </c>
    </row>
    <row r="3" ht="15.75" customHeight="1">
      <c r="A3" s="5">
        <v>46181.0</v>
      </c>
      <c r="B3" s="6" t="s">
        <v>13</v>
      </c>
      <c r="C3" s="7" t="s">
        <v>11</v>
      </c>
      <c r="D3" s="8">
        <v>379.0</v>
      </c>
      <c r="E3" s="8">
        <v>151328.0</v>
      </c>
      <c r="F3" s="8">
        <v>892.0</v>
      </c>
      <c r="G3" s="8">
        <v>2.62</v>
      </c>
      <c r="H3" s="8">
        <v>3.94</v>
      </c>
      <c r="I3" s="8">
        <v>18.76</v>
      </c>
      <c r="J3" s="10" t="s">
        <v>14</v>
      </c>
      <c r="K3" s="11">
        <f>AVERAGE(IF(J3:J15="A",5,IF(J3:J15="B",4,IF(J3:J15="C",3,IF(J3:J15="D",2,IF(J3:J15="E",1,NA()))))))</f>
        <v>1</v>
      </c>
    </row>
    <row r="4" ht="15.75" customHeight="1">
      <c r="A4" s="5">
        <v>46181.0</v>
      </c>
      <c r="B4" s="6" t="s">
        <v>15</v>
      </c>
      <c r="C4" s="7" t="s">
        <v>11</v>
      </c>
      <c r="D4" s="8">
        <v>136.0</v>
      </c>
      <c r="E4" s="8">
        <v>40408.0</v>
      </c>
      <c r="F4" s="8">
        <v>1573.0</v>
      </c>
      <c r="G4" s="8">
        <v>2.67</v>
      </c>
      <c r="H4" s="8">
        <v>4.01</v>
      </c>
      <c r="I4" s="8">
        <v>16.31</v>
      </c>
      <c r="J4" s="8" t="s">
        <v>12</v>
      </c>
      <c r="K4" s="9">
        <v>2.0</v>
      </c>
    </row>
    <row r="5" ht="15.75" customHeight="1">
      <c r="A5" s="5">
        <v>46181.0</v>
      </c>
      <c r="B5" s="6" t="s">
        <v>16</v>
      </c>
      <c r="C5" s="7" t="s">
        <v>11</v>
      </c>
      <c r="D5" s="8">
        <v>86.0</v>
      </c>
      <c r="E5" s="8">
        <v>29896.0</v>
      </c>
      <c r="F5" s="8">
        <v>950.0</v>
      </c>
      <c r="G5" s="8">
        <v>2.34</v>
      </c>
      <c r="H5" s="8">
        <v>3.51</v>
      </c>
      <c r="I5" s="8">
        <v>32.94</v>
      </c>
      <c r="J5" s="10" t="s">
        <v>14</v>
      </c>
      <c r="K5" s="11">
        <f>AVERAGE(IF(J5:J17="A",5,IF(J5:J17="B",4,IF(J5:J17="C",3,IF(J5:J17="D",2,IF(J5:J17="E",1,NA()))))))</f>
        <v>1</v>
      </c>
    </row>
    <row r="6" ht="15.75" customHeight="1">
      <c r="A6" s="12"/>
      <c r="B6" s="13"/>
      <c r="C6" s="13"/>
      <c r="D6" s="10">
        <v>0.0</v>
      </c>
      <c r="E6" s="10">
        <v>0.0</v>
      </c>
      <c r="F6" s="10">
        <v>0.0</v>
      </c>
      <c r="G6" s="10">
        <v>0.0</v>
      </c>
      <c r="H6" s="10">
        <v>0.0</v>
      </c>
      <c r="I6" s="10">
        <v>0.0</v>
      </c>
      <c r="J6" s="8">
        <v>0.0</v>
      </c>
      <c r="K6" s="9">
        <v>0.0</v>
      </c>
    </row>
    <row r="7" ht="15.75" customHeight="1">
      <c r="A7" s="12"/>
      <c r="B7" s="13"/>
      <c r="C7" s="13"/>
      <c r="D7" s="10">
        <v>0.0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8">
        <v>0.0</v>
      </c>
      <c r="K7" s="9">
        <v>0.0</v>
      </c>
    </row>
    <row r="8" ht="15.75" customHeight="1">
      <c r="A8" s="12"/>
      <c r="B8" s="13"/>
      <c r="C8" s="13"/>
      <c r="D8" s="10">
        <v>0.0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8">
        <v>0.0</v>
      </c>
      <c r="K8" s="9">
        <v>0.0</v>
      </c>
    </row>
    <row r="9" ht="15.75" customHeight="1">
      <c r="A9" s="12"/>
      <c r="B9" s="13"/>
      <c r="C9" s="13"/>
      <c r="D9" s="10">
        <v>0.0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8">
        <v>0.0</v>
      </c>
      <c r="K9" s="9">
        <v>0.0</v>
      </c>
    </row>
    <row r="10" ht="15.75" customHeight="1">
      <c r="A10" s="12"/>
      <c r="B10" s="13"/>
      <c r="C10" s="13"/>
      <c r="D10" s="10">
        <v>0.0</v>
      </c>
      <c r="E10" s="10">
        <v>0.0</v>
      </c>
      <c r="F10" s="10">
        <v>0.0</v>
      </c>
      <c r="G10" s="10">
        <v>0.0</v>
      </c>
      <c r="H10" s="10">
        <v>0.0</v>
      </c>
      <c r="I10" s="10">
        <v>0.0</v>
      </c>
      <c r="J10" s="8">
        <v>0.0</v>
      </c>
      <c r="K10" s="9">
        <v>0.0</v>
      </c>
    </row>
    <row r="11" ht="15.75" customHeight="1">
      <c r="A11" s="12"/>
      <c r="B11" s="13"/>
      <c r="C11" s="13"/>
      <c r="D11" s="10">
        <v>0.0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8">
        <v>0.0</v>
      </c>
      <c r="K11" s="9">
        <v>0.0</v>
      </c>
    </row>
    <row r="12" ht="15.75" customHeight="1">
      <c r="A12" s="14"/>
      <c r="B12" s="15"/>
      <c r="C12" s="15"/>
      <c r="D12" s="10">
        <v>0.0</v>
      </c>
      <c r="E12" s="10">
        <v>0.0</v>
      </c>
      <c r="F12" s="10">
        <v>0.0</v>
      </c>
      <c r="G12" s="10">
        <v>0.0</v>
      </c>
      <c r="H12" s="10">
        <v>0.0</v>
      </c>
      <c r="I12" s="10">
        <v>0.0</v>
      </c>
      <c r="J12" s="8">
        <v>0.0</v>
      </c>
      <c r="K12" s="9">
        <v>0.0</v>
      </c>
    </row>
    <row r="13" ht="15.75" customHeight="1"/>
    <row r="14" ht="15.75" customHeight="1"/>
    <row r="15" ht="15.75" customHeight="1">
      <c r="D15" s="16" t="s">
        <v>17</v>
      </c>
      <c r="G15" s="16" t="s">
        <v>18</v>
      </c>
      <c r="I15" s="16" t="s">
        <v>17</v>
      </c>
    </row>
    <row r="16" ht="15.75" customHeight="1">
      <c r="C16" s="17" t="s">
        <v>19</v>
      </c>
      <c r="D16" s="11">
        <f t="shared" ref="D16:F16" si="1">AVERAGE(D2:D12)</f>
        <v>91.72727273</v>
      </c>
      <c r="E16" s="11">
        <f t="shared" si="1"/>
        <v>34828.36364</v>
      </c>
      <c r="F16" s="11">
        <f t="shared" si="1"/>
        <v>398.6363636</v>
      </c>
      <c r="G16" s="18">
        <f t="shared" ref="G16:H16" si="2">SUM(G2:G12)</f>
        <v>10.29</v>
      </c>
      <c r="H16" s="18">
        <f t="shared" si="2"/>
        <v>15.45</v>
      </c>
      <c r="I16" s="11">
        <f>AVERAGE(I2:I12)</f>
        <v>7.726363636</v>
      </c>
      <c r="J16" s="11" t="str">
        <f>IF(AVERAGE(K2:K11)&gt;=4.5,"A",IF(AVERAGE(K2:K11)&gt;=3.5,"B",IF(AVERAGE(K2:K11)&gt;=2.5,"C",IF(AVERAGE(K2:K11)&gt;=1.5,"D","E"))))</f>
        <v>E</v>
      </c>
    </row>
    <row r="17" ht="15.75" customHeight="1">
      <c r="C17" s="19" t="s">
        <v>20</v>
      </c>
      <c r="G17" s="11">
        <f>G16*5083333</f>
        <v>52307496.57</v>
      </c>
      <c r="H17" s="11">
        <f>H16*320</f>
        <v>4944</v>
      </c>
    </row>
    <row r="18" ht="15.75" customHeight="1">
      <c r="C18" s="19" t="s">
        <v>21</v>
      </c>
      <c r="G18" s="11">
        <f>G16*5083333*24</f>
        <v>1255379918</v>
      </c>
      <c r="H18" s="11">
        <f>H16*320*24</f>
        <v>118656</v>
      </c>
    </row>
    <row r="19" ht="15.75" customHeight="1">
      <c r="C19" s="19" t="s">
        <v>22</v>
      </c>
      <c r="G19" s="11">
        <f>G16*5083333*24*30</f>
        <v>37661397530</v>
      </c>
      <c r="H19" s="11">
        <f>H16*320*24*30</f>
        <v>3559680</v>
      </c>
    </row>
    <row r="20" ht="15.75" customHeight="1"/>
    <row r="21" ht="15.75" customHeight="1">
      <c r="A21" s="20"/>
      <c r="G21" s="21" t="s">
        <v>23</v>
      </c>
      <c r="H21" s="21" t="s">
        <v>24</v>
      </c>
    </row>
    <row r="22" ht="15.75" customHeight="1">
      <c r="C22" s="19" t="s">
        <v>20</v>
      </c>
      <c r="G22" s="11">
        <f>G17/1000</f>
        <v>52307.49657</v>
      </c>
      <c r="H22" s="9">
        <v>4.944</v>
      </c>
    </row>
    <row r="23" ht="15.75" customHeight="1">
      <c r="C23" s="19" t="s">
        <v>21</v>
      </c>
      <c r="G23" s="11">
        <f>G22*24</f>
        <v>1255379.918</v>
      </c>
      <c r="H23" s="9">
        <v>118.656</v>
      </c>
    </row>
    <row r="24" ht="15.75" customHeight="1">
      <c r="C24" s="19" t="s">
        <v>22</v>
      </c>
      <c r="G24" s="11">
        <f t="shared" ref="G24:H24" si="3">G23*30</f>
        <v>37661397.53</v>
      </c>
      <c r="H24" s="11">
        <f t="shared" si="3"/>
        <v>3559.68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15:F15"/>
    <mergeCell ref="G15:H15"/>
    <mergeCell ref="I15:J15"/>
  </mergeCells>
  <dataValidations>
    <dataValidation type="custom" allowBlank="1" showDropDown="1" sqref="A2:A12">
      <formula1>OR(NOT(ISERROR(DATEVALUE(A2))), AND(ISNUMBER(A2), LEFT(CELL("format", A2))="D"))</formula1>
    </dataValidation>
  </dataValidations>
  <hyperlinks>
    <hyperlink r:id="rId1" ref="C2"/>
    <hyperlink r:id="rId2" ref="C3"/>
    <hyperlink r:id="rId3" ref="C4"/>
    <hyperlink r:id="rId4" ref="C5"/>
  </hyperlinks>
  <drawing r:id="rId5"/>
  <tableParts count="1">
    <tablePart r:id="rId7"/>
  </tableParts>
</worksheet>
</file>